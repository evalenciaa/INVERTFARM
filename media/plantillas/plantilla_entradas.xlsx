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RMACIA\OneDrive\Desktop\"/>
    </mc:Choice>
  </mc:AlternateContent>
  <xr:revisionPtr revIDLastSave="0" documentId="13_ncr:1000001_{B932EF4D-3822-4E40-8547-AC149030A78E}" xr6:coauthVersionLast="47" xr6:coauthVersionMax="47" xr10:uidLastSave="{00000000-0000-0000-0000-000000000000}"/>
  <bookViews>
    <workbookView xWindow="0" yWindow="0" windowWidth="20490" windowHeight="7365" activeTab="4" xr2:uid="{00000000-000D-0000-FFFF-FFFF00000000}"/>
  </bookViews>
  <sheets>
    <sheet name="H. CERRO AZUL" sheetId="3" r:id="rId1"/>
    <sheet name="H. CERRO AZUL (2)" sheetId="5" r:id="rId2"/>
    <sheet name="EL RINCON CHICONAMEL" sheetId="9" r:id="rId3"/>
    <sheet name="Hoja1" sheetId="7" r:id="rId4"/>
    <sheet name="HOJA2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0" l="1"/>
  <c r="H22" i="10"/>
  <c r="H21" i="10"/>
  <c r="H19" i="10"/>
  <c r="H18" i="10"/>
  <c r="H17" i="10"/>
  <c r="H20" i="10"/>
  <c r="H16" i="10"/>
  <c r="H15" i="10"/>
  <c r="H14" i="10"/>
  <c r="H13" i="10"/>
  <c r="H15" i="7"/>
  <c r="H14" i="7"/>
  <c r="H16" i="7"/>
  <c r="H12" i="5"/>
  <c r="H19" i="5"/>
  <c r="H20" i="5"/>
  <c r="H12" i="3"/>
  <c r="H20" i="3"/>
  <c r="H19" i="3"/>
</calcChain>
</file>

<file path=xl/sharedStrings.xml><?xml version="1.0" encoding="utf-8"?>
<sst xmlns="http://schemas.openxmlformats.org/spreadsheetml/2006/main" count="190" uniqueCount="85">
  <si>
    <t>ORIGEN:</t>
  </si>
  <si>
    <t>BENEFICIARIO:</t>
  </si>
  <si>
    <t>DOMICILIO:</t>
  </si>
  <si>
    <t>TELEFONO:</t>
  </si>
  <si>
    <t>OBSERVACIONES:</t>
  </si>
  <si>
    <t>FOLIO DE SALIDA:</t>
  </si>
  <si>
    <t>CLAVE</t>
  </si>
  <si>
    <t>DESCRIPCION</t>
  </si>
  <si>
    <t>PRESENTACION</t>
  </si>
  <si>
    <t>LOTE</t>
  </si>
  <si>
    <t>CANTIDAD</t>
  </si>
  <si>
    <t>CADUCIDAD</t>
  </si>
  <si>
    <t>PRECIO UNITARIO</t>
  </si>
  <si>
    <t>IMPORTE</t>
  </si>
  <si>
    <t>MOVIMIENTO:</t>
  </si>
  <si>
    <t>FECHA:</t>
  </si>
  <si>
    <t>SERVICIOS DE SALUD DE VERACRUZ</t>
  </si>
  <si>
    <t>FARMACIA</t>
  </si>
  <si>
    <t>TOTAL PZAS.</t>
  </si>
  <si>
    <t>TOTAL</t>
  </si>
  <si>
    <t>UNEME DE PLATON SANCHEZ</t>
  </si>
  <si>
    <t xml:space="preserve">APOYO DE MEDICAMENTO </t>
  </si>
  <si>
    <t>TRASPASO</t>
  </si>
  <si>
    <t>HOSPITAL DE LA COMUNIDAD DE CERRO AZUL</t>
  </si>
  <si>
    <t>PRIVADA ABUNDIO JUAREZ NO. 3, COL. DEPORTIVA C.P.92514, CERRO AZUL VERACRUZ</t>
  </si>
  <si>
    <t>30 DE NOVIEMBRE DE 2023.</t>
  </si>
  <si>
    <t>010.000.5621.00</t>
  </si>
  <si>
    <t>LINAGLIPTINA TABLETA DE 5 MG</t>
  </si>
  <si>
    <t>ENVASE CON 30 TABLETAS</t>
  </si>
  <si>
    <t>E04180</t>
  </si>
  <si>
    <t>HOSPITAL NACHON</t>
  </si>
  <si>
    <t>785 85 240 73</t>
  </si>
  <si>
    <t>S/N</t>
  </si>
  <si>
    <t>HOSPITAL GENERAL TEMPOAL</t>
  </si>
  <si>
    <t>TRANSFERENCIA</t>
  </si>
  <si>
    <t>010.000.0254.00</t>
  </si>
  <si>
    <t>ENV. C/50 AMP. 50 AMP. DE 1 ML.</t>
  </si>
  <si>
    <t>HIVE23019</t>
  </si>
  <si>
    <t>ABRIL-2026</t>
  </si>
  <si>
    <t>APOYO DE MEDICAMENTO</t>
  </si>
  <si>
    <t>BROMURO DE VECURONIO SOL. INY. DE 4MG/1ML</t>
  </si>
  <si>
    <t>MEDICAMENTO</t>
  </si>
  <si>
    <t>LA COBACHA EDUARDO MARTINEZ NO .12 TEMPOAL DE SANCHEZ , VER.</t>
  </si>
  <si>
    <t>010.000.1541.00</t>
  </si>
  <si>
    <t>CARBETOCINA. SOLUCIÓN INYECTABLE 100 µG.</t>
  </si>
  <si>
    <t>ENVASE CON UNA AMPOLLETA O FRASCO ÁMPULA.</t>
  </si>
  <si>
    <t>B23A790</t>
  </si>
  <si>
    <t>010.000.0624.01</t>
  </si>
  <si>
    <t>010.000.0901.00</t>
  </si>
  <si>
    <t>010.000.1097.00</t>
  </si>
  <si>
    <t>010.000.2871.00</t>
  </si>
  <si>
    <t>010.000.3617.00</t>
  </si>
  <si>
    <t>010.000.4118.01</t>
  </si>
  <si>
    <t>010.000.4186.01</t>
  </si>
  <si>
    <t>010.000.4251.00</t>
  </si>
  <si>
    <t>010.000.5486.01</t>
  </si>
  <si>
    <t>ACENOCUMAROL. TABLETA 4 MG.</t>
  </si>
  <si>
    <t>BDF030</t>
  </si>
  <si>
    <t>BDG065</t>
  </si>
  <si>
    <t>PODOFILINA, RESINA DE. SOLUCIÓN DÉRMICA 250 MG / ML.</t>
  </si>
  <si>
    <t>ENVASE CON 5 ML.</t>
  </si>
  <si>
    <t>3K980</t>
  </si>
  <si>
    <t xml:space="preserve">DESMOPRESINA SOLUCION NASAL </t>
  </si>
  <si>
    <t>ENVASE CON NEBULIZADOR DE 2.5 ML</t>
  </si>
  <si>
    <t>WB2541</t>
  </si>
  <si>
    <t>FENILEFRINA SOLUCION OFTALMICA</t>
  </si>
  <si>
    <t>CADA ML CONTIENE: CLORHIDRATO DE FENILEFRINA 100 MG. ENVASE CON GOTERO INTEGRAL CON 15 ML.</t>
  </si>
  <si>
    <t>FOSFATO DE POTASIO, SOLUCIÓN INYECTABLE, POTASIO DIBÁSICO 1.550 GR/10 ML, POTASIO MONOFÁSICO 0.300 GR/10 ML</t>
  </si>
  <si>
    <t>ENVASE CON 50 AMPOLLETAS CON 10 ML</t>
  </si>
  <si>
    <t>B22U789</t>
  </si>
  <si>
    <t>MESALAZINA GRAGEA CON CAPA ENTERICA O TABLETA DE LIBERACION PROLONGADA</t>
  </si>
  <si>
    <t>CADA GRAGEA CON CAPA ENTERICA O TABLETA DE LIBERACION PROLONGADA CONTIENE: MESALAZINA 500 MG. ENVASE CON 30 GRAGEAS CON CAPA ENTERICA O TABLETAS DE LIBERACION PROLONGADA.</t>
  </si>
  <si>
    <t>VANCOMICINA CADA FRASCO AMPULA CON POLVO CONTIENE CLORHIDRATO DE VANCIMICINA EQUIVALENTE A 500 MG DE VANCOMICINA</t>
  </si>
  <si>
    <t>ENVASE CON UN FRASCO AMPULA</t>
  </si>
  <si>
    <t>OLANZAPINA TABLETAS 10 MG</t>
  </si>
  <si>
    <t xml:space="preserve">ENVASE CON 28 TABLETAS </t>
  </si>
  <si>
    <t>X300387</t>
  </si>
  <si>
    <t>ENVASE CON 10 AMPOLLETAS CON 10 ML (10 MG/10 ML).</t>
  </si>
  <si>
    <t>ISOSORBIDA, DINITRATO DE SOLUCION INYECTABLE CADA ML CONTIENE: DINITRATO DE ISOSORBIDA 10 MG. ENVASE CON 10 AMPOLLETAS CON 10 ML (10 MG/10 ML).</t>
  </si>
  <si>
    <t>M230198</t>
  </si>
  <si>
    <t>HOSPITAL MATERNO INFANTIL COATZACOALCOS</t>
  </si>
  <si>
    <t>AV. DR. JOSÈ LEMARROY CARREON NUM. 37 ESQ. AV. MTRO. FRANCISCO MOROSSINI CORDERO, No. 800 COL. BAHIA DE SAN MARTIN, CP. 96536, COATZACOALCOS VERACRUZ.</t>
  </si>
  <si>
    <t>010.000.4126.00</t>
  </si>
  <si>
    <t>SULFADIAZINA DE PLATA CREMA CADA 100 GRAMOS CONTIENE: SULFADIAZINA DE PLATAMICRONIZADA 1 G</t>
  </si>
  <si>
    <t xml:space="preserve"> ENVASE CON 375 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</si>
</sst>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&quot;$&quot;#,##0.00"/>
    <numFmt numFmtId="166" formatCode="\$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theme="1"/>
      <name val="Arial"/>
      <family val="2"/>
    </font>
    <font>
      <sz val="6"/>
      <color indexed="8"/>
      <name val="Arial"/>
      <family val="2"/>
    </font>
    <font>
      <b/>
      <sz val="6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4" fillId="0" borderId="0"/>
    <xf numFmtId="0" fontId="2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3" fillId="0" borderId="0" xfId="0" applyFont="1"/>
    <xf numFmtId="165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left" vertical="top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49" fontId="2" fillId="0" borderId="1" xfId="1" applyNumberFormat="1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 vertical="center"/>
    </xf>
    <xf numFmtId="166" fontId="11" fillId="0" borderId="1" xfId="0" applyNumberFormat="1" applyFont="1" applyFill="1" applyBorder="1" applyAlignment="1">
      <alignment horizontal="center"/>
    </xf>
    <xf numFmtId="0" fontId="7" fillId="0" borderId="0" xfId="0" applyFont="1" applyBorder="1"/>
    <xf numFmtId="166" fontId="11" fillId="0" borderId="0" xfId="0" applyNumberFormat="1" applyFont="1" applyFill="1" applyBorder="1" applyAlignment="1">
      <alignment horizontal="center"/>
    </xf>
    <xf numFmtId="0" fontId="12" fillId="0" borderId="1" xfId="1" applyFont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center" vertical="center" wrapText="1"/>
    </xf>
    <xf numFmtId="166" fontId="13" fillId="0" borderId="1" xfId="2" applyNumberFormat="1" applyFont="1" applyFill="1" applyBorder="1" applyAlignment="1">
      <alignment horizontal="center" vertical="center" wrapText="1"/>
    </xf>
    <xf numFmtId="165" fontId="13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13" fillId="0" borderId="1" xfId="2" applyFont="1" applyFill="1" applyBorder="1" applyAlignment="1">
      <alignment horizontal="center" vertical="center" wrapText="1"/>
    </xf>
    <xf numFmtId="17" fontId="9" fillId="0" borderId="1" xfId="0" applyNumberFormat="1" applyFont="1" applyFill="1" applyBorder="1" applyAlignment="1">
      <alignment horizontal="center" vertical="center" wrapText="1"/>
    </xf>
    <xf numFmtId="0" fontId="13" fillId="0" borderId="0" xfId="0" applyFont="1" applyFill="1"/>
    <xf numFmtId="0" fontId="14" fillId="0" borderId="1" xfId="0" applyFont="1" applyFill="1" applyBorder="1"/>
    <xf numFmtId="164" fontId="14" fillId="0" borderId="1" xfId="0" applyNumberFormat="1" applyFont="1" applyBorder="1" applyAlignment="1">
      <alignment horizontal="center" vertical="center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0" applyNumberFormat="1" applyFont="1" applyFill="1" applyBorder="1" applyAlignment="1">
      <alignment horizontal="center" vertical="center" wrapText="1"/>
    </xf>
    <xf numFmtId="0" fontId="17" fillId="0" borderId="1" xfId="3" applyFont="1" applyFill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 wrapText="1"/>
    </xf>
    <xf numFmtId="0" fontId="15" fillId="0" borderId="1" xfId="1" applyFont="1" applyFill="1" applyBorder="1" applyAlignment="1">
      <alignment horizontal="center" vertical="center"/>
    </xf>
    <xf numFmtId="0" fontId="17" fillId="0" borderId="1" xfId="2" applyFont="1" applyFill="1" applyBorder="1" applyAlignment="1">
      <alignment horizontal="center" vertical="center" wrapText="1"/>
    </xf>
    <xf numFmtId="17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left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center" vertical="center" wrapText="1"/>
    </xf>
    <xf numFmtId="166" fontId="17" fillId="0" borderId="1" xfId="2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center" vertical="center"/>
    </xf>
    <xf numFmtId="17" fontId="16" fillId="0" borderId="2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166" fontId="17" fillId="0" borderId="1" xfId="0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49" fontId="17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7" fontId="16" fillId="0" borderId="1" xfId="0" applyNumberFormat="1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1" xfId="0" applyFont="1" applyBorder="1"/>
    <xf numFmtId="166" fontId="19" fillId="0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">
    <cellStyle name="Normal" xfId="0" builtinId="0"/>
    <cellStyle name="Normal 3" xfId="2" xr:uid="{00000000-0005-0000-0000-000001000000}"/>
    <cellStyle name="Normal_Hoja1" xfId="1" xr:uid="{00000000-0005-0000-0000-000002000000}"/>
    <cellStyle name="Normal_Hoja1 2" xfId="3" xr:uid="{00000000-0005-0000-0000-000003000000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866776</xdr:colOff>
      <xdr:row>2</xdr:row>
      <xdr:rowOff>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92" r="23274"/>
        <a:stretch/>
      </xdr:blipFill>
      <xdr:spPr>
        <a:xfrm>
          <a:off x="9525" y="0"/>
          <a:ext cx="3457576" cy="3814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22</xdr:row>
      <xdr:rowOff>152400</xdr:rowOff>
    </xdr:from>
    <xdr:to>
      <xdr:col>1</xdr:col>
      <xdr:colOff>657225</xdr:colOff>
      <xdr:row>27</xdr:row>
      <xdr:rowOff>9525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9525" y="14897100"/>
          <a:ext cx="17145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 b="1">
              <a:solidFill>
                <a:sysClr val="windowText" lastClr="000000"/>
              </a:solidFill>
            </a:rPr>
            <a:t>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Q.F.B</a:t>
          </a:r>
          <a:r>
            <a:rPr lang="es-MX" sz="800" b="1" baseline="0">
              <a:solidFill>
                <a:sysClr val="windowText" lastClr="000000"/>
              </a:solidFill>
            </a:rPr>
            <a:t> ZAYCLA ZURISADAI SUASTES PÈREZ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RESPONSABLE SANITARIO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ELABORÓ</a:t>
          </a:r>
        </a:p>
      </xdr:txBody>
    </xdr:sp>
    <xdr:clientData/>
  </xdr:twoCellAnchor>
  <xdr:twoCellAnchor>
    <xdr:from>
      <xdr:col>2</xdr:col>
      <xdr:colOff>400050</xdr:colOff>
      <xdr:row>22</xdr:row>
      <xdr:rowOff>114300</xdr:rowOff>
    </xdr:from>
    <xdr:to>
      <xdr:col>4</xdr:col>
      <xdr:colOff>647700</xdr:colOff>
      <xdr:row>26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000375" y="14859000"/>
          <a:ext cx="206692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C.P. EUSEBIO GRANDE MESEÑO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ENCARGADO DE RECURSOS MATERIALES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REVISÓ</a:t>
          </a:r>
        </a:p>
      </xdr:txBody>
    </xdr:sp>
    <xdr:clientData/>
  </xdr:twoCellAnchor>
  <xdr:twoCellAnchor>
    <xdr:from>
      <xdr:col>4</xdr:col>
      <xdr:colOff>209550</xdr:colOff>
      <xdr:row>22</xdr:row>
      <xdr:rowOff>133350</xdr:rowOff>
    </xdr:from>
    <xdr:to>
      <xdr:col>6</xdr:col>
      <xdr:colOff>476250</xdr:colOff>
      <xdr:row>26</xdr:row>
      <xdr:rowOff>180975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629150" y="14878050"/>
          <a:ext cx="20383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LIC. SAMUEL TORRES AGUILAR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ADMINISTRADOR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Vo. Bo.</a:t>
          </a:r>
        </a:p>
      </xdr:txBody>
    </xdr:sp>
    <xdr:clientData/>
  </xdr:twoCellAnchor>
  <xdr:twoCellAnchor>
    <xdr:from>
      <xdr:col>5</xdr:col>
      <xdr:colOff>723900</xdr:colOff>
      <xdr:row>22</xdr:row>
      <xdr:rowOff>142875</xdr:rowOff>
    </xdr:from>
    <xdr:to>
      <xdr:col>8</xdr:col>
      <xdr:colOff>152400</xdr:colOff>
      <xdr:row>27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6124575" y="14887575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DRA. YOLANDA</a:t>
          </a:r>
          <a:r>
            <a:rPr lang="es-MX" sz="800" b="1" baseline="0">
              <a:solidFill>
                <a:sysClr val="windowText" lastClr="000000"/>
              </a:solidFill>
            </a:rPr>
            <a:t> HERNÁNDEZ FRANCO</a:t>
          </a:r>
          <a:endParaRPr lang="es-MX" sz="800" b="1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DIRECTORA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AUTORIZÓ</a:t>
          </a:r>
        </a:p>
      </xdr:txBody>
    </xdr:sp>
    <xdr:clientData/>
  </xdr:twoCellAnchor>
  <xdr:twoCellAnchor>
    <xdr:from>
      <xdr:col>2</xdr:col>
      <xdr:colOff>657225</xdr:colOff>
      <xdr:row>27</xdr:row>
      <xdr:rowOff>133350</xdr:rowOff>
    </xdr:from>
    <xdr:to>
      <xdr:col>4</xdr:col>
      <xdr:colOff>952500</xdr:colOff>
      <xdr:row>31</xdr:row>
      <xdr:rowOff>180975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3257550" y="15830550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RECIBIÓ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NOMBRE, FIRMA,FECHA Y SELLO</a:t>
          </a:r>
        </a:p>
      </xdr:txBody>
    </xdr:sp>
    <xdr:clientData/>
  </xdr:twoCellAnchor>
  <xdr:twoCellAnchor>
    <xdr:from>
      <xdr:col>1</xdr:col>
      <xdr:colOff>609600</xdr:colOff>
      <xdr:row>22</xdr:row>
      <xdr:rowOff>9525</xdr:rowOff>
    </xdr:from>
    <xdr:to>
      <xdr:col>2</xdr:col>
      <xdr:colOff>695325</xdr:colOff>
      <xdr:row>26</xdr:row>
      <xdr:rowOff>38100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1676400" y="14754225"/>
          <a:ext cx="1619250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r>
            <a:rPr lang="es-MX" sz="1100"/>
            <a:t>____________________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RESPONSABLE</a:t>
          </a:r>
          <a:r>
            <a:rPr lang="es-MX" sz="1100"/>
            <a:t> </a:t>
          </a:r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SURTIMIENTO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NOMBRE Y FIRMA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866776</xdr:colOff>
      <xdr:row>2</xdr:row>
      <xdr:rowOff>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92" r="23274"/>
        <a:stretch/>
      </xdr:blipFill>
      <xdr:spPr>
        <a:xfrm>
          <a:off x="9525" y="0"/>
          <a:ext cx="3457576" cy="381461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21</xdr:row>
      <xdr:rowOff>0</xdr:rowOff>
    </xdr:from>
    <xdr:to>
      <xdr:col>1</xdr:col>
      <xdr:colOff>657225</xdr:colOff>
      <xdr:row>25</xdr:row>
      <xdr:rowOff>9525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525" y="6048375"/>
          <a:ext cx="17145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 b="1">
              <a:solidFill>
                <a:sysClr val="windowText" lastClr="000000"/>
              </a:solidFill>
            </a:rPr>
            <a:t>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Q.F.B</a:t>
          </a:r>
          <a:r>
            <a:rPr lang="es-MX" sz="800" b="1" baseline="0">
              <a:solidFill>
                <a:sysClr val="windowText" lastClr="000000"/>
              </a:solidFill>
            </a:rPr>
            <a:t> ZAYCLA ZURISADAI SUASTES PÈREZ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RESPONSABLE SANITARIO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ELABORÓ</a:t>
          </a:r>
        </a:p>
      </xdr:txBody>
    </xdr:sp>
    <xdr:clientData/>
  </xdr:twoCellAnchor>
  <xdr:twoCellAnchor>
    <xdr:from>
      <xdr:col>2</xdr:col>
      <xdr:colOff>400050</xdr:colOff>
      <xdr:row>21</xdr:row>
      <xdr:rowOff>0</xdr:rowOff>
    </xdr:from>
    <xdr:to>
      <xdr:col>4</xdr:col>
      <xdr:colOff>647700</xdr:colOff>
      <xdr:row>24</xdr:row>
      <xdr:rowOff>161925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3000375" y="6010275"/>
          <a:ext cx="206692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C.P. EUSEBIO GRANDE MESEÑO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ENCARGADO DE RECURSOS MATERIALES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REVISÓ</a:t>
          </a:r>
        </a:p>
      </xdr:txBody>
    </xdr:sp>
    <xdr:clientData/>
  </xdr:twoCellAnchor>
  <xdr:twoCellAnchor>
    <xdr:from>
      <xdr:col>4</xdr:col>
      <xdr:colOff>209550</xdr:colOff>
      <xdr:row>21</xdr:row>
      <xdr:rowOff>0</xdr:rowOff>
    </xdr:from>
    <xdr:to>
      <xdr:col>6</xdr:col>
      <xdr:colOff>476250</xdr:colOff>
      <xdr:row>24</xdr:row>
      <xdr:rowOff>180975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4629150" y="6029325"/>
          <a:ext cx="20383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LIC. SAMUEL TORRES AGUILAR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ADMINISTRADOR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Vo. Bo.</a:t>
          </a:r>
        </a:p>
      </xdr:txBody>
    </xdr:sp>
    <xdr:clientData/>
  </xdr:twoCellAnchor>
  <xdr:twoCellAnchor>
    <xdr:from>
      <xdr:col>5</xdr:col>
      <xdr:colOff>723900</xdr:colOff>
      <xdr:row>21</xdr:row>
      <xdr:rowOff>0</xdr:rowOff>
    </xdr:from>
    <xdr:to>
      <xdr:col>8</xdr:col>
      <xdr:colOff>152400</xdr:colOff>
      <xdr:row>25</xdr:row>
      <xdr:rowOff>0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6124575" y="6038850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DRA. YOLANDA</a:t>
          </a:r>
          <a:r>
            <a:rPr lang="es-MX" sz="800" b="1" baseline="0">
              <a:solidFill>
                <a:sysClr val="windowText" lastClr="000000"/>
              </a:solidFill>
            </a:rPr>
            <a:t> HERNÁNDEZ FRANCO</a:t>
          </a:r>
          <a:endParaRPr lang="es-MX" sz="800" b="1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DIRECTORA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AUTORIZÓ</a:t>
          </a:r>
        </a:p>
      </xdr:txBody>
    </xdr:sp>
    <xdr:clientData/>
  </xdr:twoCellAnchor>
  <xdr:twoCellAnchor>
    <xdr:from>
      <xdr:col>2</xdr:col>
      <xdr:colOff>657225</xdr:colOff>
      <xdr:row>25</xdr:row>
      <xdr:rowOff>133350</xdr:rowOff>
    </xdr:from>
    <xdr:to>
      <xdr:col>4</xdr:col>
      <xdr:colOff>952500</xdr:colOff>
      <xdr:row>29</xdr:row>
      <xdr:rowOff>180975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3257550" y="6981825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RECIBIÓ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NOMBRE, FIRMA,FECHA Y SELLO</a:t>
          </a:r>
        </a:p>
      </xdr:txBody>
    </xdr:sp>
    <xdr:clientData/>
  </xdr:twoCellAnchor>
  <xdr:twoCellAnchor>
    <xdr:from>
      <xdr:col>1</xdr:col>
      <xdr:colOff>609600</xdr:colOff>
      <xdr:row>20</xdr:row>
      <xdr:rowOff>19050</xdr:rowOff>
    </xdr:from>
    <xdr:to>
      <xdr:col>2</xdr:col>
      <xdr:colOff>695325</xdr:colOff>
      <xdr:row>25</xdr:row>
      <xdr:rowOff>19050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676400" y="5534025"/>
          <a:ext cx="1619250" cy="952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r>
            <a:rPr lang="es-MX" sz="1100"/>
            <a:t>____________________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RESPONSABLE</a:t>
          </a:r>
          <a:r>
            <a:rPr lang="es-MX" sz="1100"/>
            <a:t> </a:t>
          </a:r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DE SURTIMIENTO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NOMBRE Y FIRMA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866776</xdr:colOff>
      <xdr:row>2</xdr:row>
      <xdr:rowOff>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92" r="23274"/>
        <a:stretch/>
      </xdr:blipFill>
      <xdr:spPr>
        <a:xfrm>
          <a:off x="9525" y="0"/>
          <a:ext cx="3457576" cy="3814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95250</xdr:rowOff>
    </xdr:from>
    <xdr:to>
      <xdr:col>1</xdr:col>
      <xdr:colOff>647700</xdr:colOff>
      <xdr:row>20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0" y="3762375"/>
          <a:ext cx="17145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 b="1">
              <a:solidFill>
                <a:sysClr val="windowText" lastClr="000000"/>
              </a:solidFill>
            </a:rPr>
            <a:t>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BIOL. DARNNEY</a:t>
          </a:r>
          <a:r>
            <a:rPr lang="es-MX" sz="800" b="1" baseline="0">
              <a:solidFill>
                <a:sysClr val="windowText" lastClr="000000"/>
              </a:solidFill>
            </a:rPr>
            <a:t> BRIZEIDA GALVAN TELLEZ 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ELABORÓ</a:t>
          </a:r>
        </a:p>
      </xdr:txBody>
    </xdr:sp>
    <xdr:clientData/>
  </xdr:twoCellAnchor>
  <xdr:twoCellAnchor>
    <xdr:from>
      <xdr:col>1</xdr:col>
      <xdr:colOff>447675</xdr:colOff>
      <xdr:row>16</xdr:row>
      <xdr:rowOff>123825</xdr:rowOff>
    </xdr:from>
    <xdr:to>
      <xdr:col>2</xdr:col>
      <xdr:colOff>981075</xdr:colOff>
      <xdr:row>20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514475" y="3790950"/>
          <a:ext cx="206692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C.P. EUSEBIO GRANDE MESEÑO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ENCARGADO DE RECURSOS MATERIALES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REVISÓ</a:t>
          </a:r>
        </a:p>
      </xdr:txBody>
    </xdr:sp>
    <xdr:clientData/>
  </xdr:twoCellAnchor>
  <xdr:twoCellAnchor>
    <xdr:from>
      <xdr:col>2</xdr:col>
      <xdr:colOff>552450</xdr:colOff>
      <xdr:row>16</xdr:row>
      <xdr:rowOff>123825</xdr:rowOff>
    </xdr:from>
    <xdr:to>
      <xdr:col>4</xdr:col>
      <xdr:colOff>771525</xdr:colOff>
      <xdr:row>20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3152775" y="3790950"/>
          <a:ext cx="20383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LIC. SAMUEL TORRES AGUILAR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ADMINISTRADOR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Vo. Bo.</a:t>
          </a:r>
        </a:p>
      </xdr:txBody>
    </xdr:sp>
    <xdr:clientData/>
  </xdr:twoCellAnchor>
  <xdr:twoCellAnchor>
    <xdr:from>
      <xdr:col>4</xdr:col>
      <xdr:colOff>285750</xdr:colOff>
      <xdr:row>16</xdr:row>
      <xdr:rowOff>133350</xdr:rowOff>
    </xdr:from>
    <xdr:to>
      <xdr:col>6</xdr:col>
      <xdr:colOff>628650</xdr:colOff>
      <xdr:row>20</xdr:row>
      <xdr:rowOff>180975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4705350" y="3800475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DRA. YOLANDA</a:t>
          </a:r>
          <a:r>
            <a:rPr lang="es-MX" sz="800" b="1" baseline="0">
              <a:solidFill>
                <a:sysClr val="windowText" lastClr="000000"/>
              </a:solidFill>
            </a:rPr>
            <a:t> HERNÁNDEZ FRANCO</a:t>
          </a:r>
          <a:endParaRPr lang="es-MX" sz="800" b="1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DIRECTORA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AUTORIZÓ</a:t>
          </a:r>
        </a:p>
      </xdr:txBody>
    </xdr:sp>
    <xdr:clientData/>
  </xdr:twoCellAnchor>
  <xdr:twoCellAnchor>
    <xdr:from>
      <xdr:col>6</xdr:col>
      <xdr:colOff>171450</xdr:colOff>
      <xdr:row>16</xdr:row>
      <xdr:rowOff>57150</xdr:rowOff>
    </xdr:from>
    <xdr:to>
      <xdr:col>8</xdr:col>
      <xdr:colOff>390525</xdr:colOff>
      <xdr:row>20</xdr:row>
      <xdr:rowOff>104775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6362700" y="3724275"/>
          <a:ext cx="239077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RECIBIÓ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NOMBRE, FIRMA,FECHA Y SELLO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0</xdr:rowOff>
    </xdr:from>
    <xdr:to>
      <xdr:col>2</xdr:col>
      <xdr:colOff>1181101</xdr:colOff>
      <xdr:row>3</xdr:row>
      <xdr:rowOff>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92" r="23274"/>
        <a:stretch/>
      </xdr:blipFill>
      <xdr:spPr>
        <a:xfrm>
          <a:off x="9525" y="0"/>
          <a:ext cx="3457576" cy="3814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95250</xdr:rowOff>
    </xdr:from>
    <xdr:to>
      <xdr:col>1</xdr:col>
      <xdr:colOff>647700</xdr:colOff>
      <xdr:row>26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0" y="3762375"/>
          <a:ext cx="17145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 b="1">
              <a:solidFill>
                <a:sysClr val="windowText" lastClr="000000"/>
              </a:solidFill>
            </a:rPr>
            <a:t>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Q.F.B. ZAYCLA Z. SUASTES PÈREZ</a:t>
          </a:r>
          <a:endParaRPr lang="es-MX" sz="800" b="1" baseline="0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ELABORÓ</a:t>
          </a:r>
        </a:p>
      </xdr:txBody>
    </xdr:sp>
    <xdr:clientData/>
  </xdr:twoCellAnchor>
  <xdr:twoCellAnchor>
    <xdr:from>
      <xdr:col>1</xdr:col>
      <xdr:colOff>457200</xdr:colOff>
      <xdr:row>23</xdr:row>
      <xdr:rowOff>0</xdr:rowOff>
    </xdr:from>
    <xdr:to>
      <xdr:col>2</xdr:col>
      <xdr:colOff>990600</xdr:colOff>
      <xdr:row>27</xdr:row>
      <xdr:rowOff>47625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590675" y="4400550"/>
          <a:ext cx="17526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C.P. EUSEBIO GRANDE MESEÑO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ENCARGADO DE RECURSOS MATERIALES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REVISÓ</a:t>
          </a:r>
        </a:p>
      </xdr:txBody>
    </xdr:sp>
    <xdr:clientData/>
  </xdr:twoCellAnchor>
  <xdr:twoCellAnchor>
    <xdr:from>
      <xdr:col>2</xdr:col>
      <xdr:colOff>552450</xdr:colOff>
      <xdr:row>22</xdr:row>
      <xdr:rowOff>123825</xdr:rowOff>
    </xdr:from>
    <xdr:to>
      <xdr:col>4</xdr:col>
      <xdr:colOff>771525</xdr:colOff>
      <xdr:row>26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3152775" y="3790950"/>
          <a:ext cx="20383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LIC. SAMUEL TORRES AGUILAR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ADMINISTRADOR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Vo. Bo.</a:t>
          </a:r>
        </a:p>
      </xdr:txBody>
    </xdr:sp>
    <xdr:clientData/>
  </xdr:twoCellAnchor>
  <xdr:twoCellAnchor>
    <xdr:from>
      <xdr:col>4</xdr:col>
      <xdr:colOff>285750</xdr:colOff>
      <xdr:row>22</xdr:row>
      <xdr:rowOff>133350</xdr:rowOff>
    </xdr:from>
    <xdr:to>
      <xdr:col>6</xdr:col>
      <xdr:colOff>628650</xdr:colOff>
      <xdr:row>26</xdr:row>
      <xdr:rowOff>180975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4705350" y="3800475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DRA. YOLANDA</a:t>
          </a:r>
          <a:r>
            <a:rPr lang="es-MX" sz="800" b="1" baseline="0">
              <a:solidFill>
                <a:sysClr val="windowText" lastClr="000000"/>
              </a:solidFill>
            </a:rPr>
            <a:t> HERNÁNDEZ FRANCO</a:t>
          </a:r>
          <a:endParaRPr lang="es-MX" sz="800" b="1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DIRECTORA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AUTORIZÓ</a:t>
          </a:r>
        </a:p>
      </xdr:txBody>
    </xdr:sp>
    <xdr:clientData/>
  </xdr:twoCellAnchor>
  <xdr:twoCellAnchor>
    <xdr:from>
      <xdr:col>6</xdr:col>
      <xdr:colOff>171450</xdr:colOff>
      <xdr:row>22</xdr:row>
      <xdr:rowOff>57150</xdr:rowOff>
    </xdr:from>
    <xdr:to>
      <xdr:col>8</xdr:col>
      <xdr:colOff>390525</xdr:colOff>
      <xdr:row>26</xdr:row>
      <xdr:rowOff>104775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6362700" y="3724275"/>
          <a:ext cx="239077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RECIBIÓ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NOMBRE, FIRMA,FECHA Y SELLO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866776</xdr:colOff>
      <xdr:row>2</xdr:row>
      <xdr:rowOff>461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992" r="23274"/>
        <a:stretch/>
      </xdr:blipFill>
      <xdr:spPr>
        <a:xfrm>
          <a:off x="9525" y="0"/>
          <a:ext cx="3457576" cy="38146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95250</xdr:rowOff>
    </xdr:from>
    <xdr:to>
      <xdr:col>1</xdr:col>
      <xdr:colOff>647700</xdr:colOff>
      <xdr:row>30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0" y="3762375"/>
          <a:ext cx="171450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050" b="1">
              <a:solidFill>
                <a:sysClr val="windowText" lastClr="000000"/>
              </a:solidFill>
            </a:rPr>
            <a:t>_______________________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ING. MARTHA YANET MARTINEZ AZUARA. 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ELABORÓ</a:t>
          </a:r>
        </a:p>
      </xdr:txBody>
    </xdr:sp>
    <xdr:clientData/>
  </xdr:twoCellAnchor>
  <xdr:twoCellAnchor>
    <xdr:from>
      <xdr:col>1</xdr:col>
      <xdr:colOff>447675</xdr:colOff>
      <xdr:row>26</xdr:row>
      <xdr:rowOff>123825</xdr:rowOff>
    </xdr:from>
    <xdr:to>
      <xdr:col>2</xdr:col>
      <xdr:colOff>981075</xdr:colOff>
      <xdr:row>30</xdr:row>
      <xdr:rowOff>171450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514475" y="3790950"/>
          <a:ext cx="206692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C.P. EUSEBIO GRANDE MESEÑO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ENCARGADO DE RECURSOS MATERIALES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REVISÓ</a:t>
          </a:r>
        </a:p>
      </xdr:txBody>
    </xdr:sp>
    <xdr:clientData/>
  </xdr:twoCellAnchor>
  <xdr:twoCellAnchor>
    <xdr:from>
      <xdr:col>2</xdr:col>
      <xdr:colOff>552450</xdr:colOff>
      <xdr:row>26</xdr:row>
      <xdr:rowOff>123825</xdr:rowOff>
    </xdr:from>
    <xdr:to>
      <xdr:col>4</xdr:col>
      <xdr:colOff>771525</xdr:colOff>
      <xdr:row>30</xdr:row>
      <xdr:rowOff>171450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3152775" y="3790950"/>
          <a:ext cx="20383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LIC. SAMUEL TORRES AGUILAR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ADMINISTRADOR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Vo. Bo.</a:t>
          </a:r>
        </a:p>
      </xdr:txBody>
    </xdr:sp>
    <xdr:clientData/>
  </xdr:twoCellAnchor>
  <xdr:twoCellAnchor>
    <xdr:from>
      <xdr:col>4</xdr:col>
      <xdr:colOff>285750</xdr:colOff>
      <xdr:row>26</xdr:row>
      <xdr:rowOff>133350</xdr:rowOff>
    </xdr:from>
    <xdr:to>
      <xdr:col>6</xdr:col>
      <xdr:colOff>628650</xdr:colOff>
      <xdr:row>30</xdr:row>
      <xdr:rowOff>180975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4705350" y="3800475"/>
          <a:ext cx="2114550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DR.</a:t>
          </a:r>
          <a:r>
            <a:rPr lang="es-MX" sz="800" b="1" baseline="0">
              <a:solidFill>
                <a:sysClr val="windowText" lastClr="000000"/>
              </a:solidFill>
            </a:rPr>
            <a:t> JOSE MANUEL RIOS GONZALEZ</a:t>
          </a:r>
          <a:endParaRPr lang="es-MX" sz="800" b="1">
            <a:solidFill>
              <a:sysClr val="windowText" lastClr="000000"/>
            </a:solidFill>
          </a:endParaRP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DIRECTOR DE LA UNIDAD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AUTORIZÓ</a:t>
          </a:r>
        </a:p>
      </xdr:txBody>
    </xdr:sp>
    <xdr:clientData/>
  </xdr:twoCellAnchor>
  <xdr:twoCellAnchor>
    <xdr:from>
      <xdr:col>6</xdr:col>
      <xdr:colOff>171450</xdr:colOff>
      <xdr:row>26</xdr:row>
      <xdr:rowOff>57150</xdr:rowOff>
    </xdr:from>
    <xdr:to>
      <xdr:col>8</xdr:col>
      <xdr:colOff>390525</xdr:colOff>
      <xdr:row>30</xdr:row>
      <xdr:rowOff>104775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6362700" y="3724275"/>
          <a:ext cx="2390775" cy="809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800" b="1">
              <a:solidFill>
                <a:sysClr val="windowText" lastClr="000000"/>
              </a:solidFill>
            </a:rPr>
            <a:t>________________________________</a:t>
          </a:r>
        </a:p>
        <a:p>
          <a:pPr algn="ctr"/>
          <a:r>
            <a:rPr lang="es-MX" sz="800" b="1">
              <a:solidFill>
                <a:sysClr val="windowText" lastClr="000000"/>
              </a:solidFill>
            </a:rPr>
            <a:t>RECIBIÓ</a:t>
          </a:r>
        </a:p>
        <a:p>
          <a:pPr algn="ctr"/>
          <a:r>
            <a:rPr lang="es-MX" sz="800" b="1" baseline="0">
              <a:solidFill>
                <a:sysClr val="windowText" lastClr="000000"/>
              </a:solidFill>
            </a:rPr>
            <a:t>NOMBRE, FIRMA,FECHA Y SELLO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0"/>
  <sheetViews>
    <sheetView topLeftCell="A7" zoomScaleNormal="100" workbookViewId="0">
      <selection activeCell="B33" sqref="B33"/>
    </sheetView>
  </sheetViews>
  <sheetFormatPr defaultColWidth="10.76171875" defaultRowHeight="15" x14ac:dyDescent="0.2"/>
  <cols>
    <col min="1" max="1" width="16.0078125" customWidth="1"/>
    <col min="2" max="2" width="23" customWidth="1"/>
    <col min="3" max="3" width="15.33203125" customWidth="1"/>
    <col min="4" max="4" width="11.97265625" customWidth="1"/>
    <col min="5" max="5" width="14.66015625" customWidth="1"/>
    <col min="6" max="6" width="11.8359375" customWidth="1"/>
    <col min="7" max="7" width="13.44921875" customWidth="1"/>
    <col min="8" max="8" width="14.9296875" customWidth="1"/>
  </cols>
  <sheetData>
    <row r="3" spans="1:8" x14ac:dyDescent="0.2">
      <c r="A3" s="61" t="s">
        <v>16</v>
      </c>
      <c r="B3" s="61"/>
      <c r="C3" s="61"/>
      <c r="D3" s="61"/>
      <c r="E3" s="61"/>
      <c r="F3" s="61"/>
      <c r="G3" s="61"/>
      <c r="H3" s="61"/>
    </row>
    <row r="4" spans="1:8" x14ac:dyDescent="0.2">
      <c r="A4" s="62" t="s">
        <v>17</v>
      </c>
      <c r="B4" s="62"/>
      <c r="C4" s="62"/>
      <c r="D4" s="62"/>
      <c r="E4" s="62"/>
      <c r="F4" s="62"/>
      <c r="G4" s="62"/>
      <c r="H4" s="62"/>
    </row>
    <row r="5" spans="1:8" x14ac:dyDescent="0.2">
      <c r="A5" s="2" t="s">
        <v>0</v>
      </c>
      <c r="B5" s="63" t="s">
        <v>20</v>
      </c>
      <c r="C5" s="63"/>
      <c r="D5" s="63"/>
      <c r="E5" s="63"/>
      <c r="F5" s="64" t="s">
        <v>14</v>
      </c>
      <c r="G5" s="64"/>
      <c r="H5" s="65" t="s">
        <v>22</v>
      </c>
    </row>
    <row r="6" spans="1:8" x14ac:dyDescent="0.2">
      <c r="A6" s="2" t="s">
        <v>1</v>
      </c>
      <c r="B6" s="63" t="s">
        <v>23</v>
      </c>
      <c r="C6" s="63"/>
      <c r="D6" s="63"/>
      <c r="E6" s="63"/>
      <c r="F6" s="64"/>
      <c r="G6" s="64"/>
      <c r="H6" s="65"/>
    </row>
    <row r="7" spans="1:8" ht="32.25" customHeight="1" x14ac:dyDescent="0.2">
      <c r="A7" s="2" t="s">
        <v>2</v>
      </c>
      <c r="B7" s="66" t="s">
        <v>24</v>
      </c>
      <c r="C7" s="67"/>
      <c r="D7" s="67"/>
      <c r="E7" s="68"/>
      <c r="F7" s="65" t="s">
        <v>15</v>
      </c>
      <c r="G7" s="65"/>
      <c r="H7" s="65"/>
    </row>
    <row r="8" spans="1:8" ht="11.25" customHeight="1" x14ac:dyDescent="0.2">
      <c r="A8" s="2" t="s">
        <v>3</v>
      </c>
      <c r="B8" s="70" t="s">
        <v>31</v>
      </c>
      <c r="C8" s="71"/>
      <c r="D8" s="71"/>
      <c r="E8" s="72"/>
      <c r="F8" s="69"/>
      <c r="G8" s="69"/>
      <c r="H8" s="69"/>
    </row>
    <row r="9" spans="1:8" ht="13.5" customHeight="1" x14ac:dyDescent="0.2">
      <c r="A9" s="2" t="s">
        <v>4</v>
      </c>
      <c r="B9" s="73" t="s">
        <v>21</v>
      </c>
      <c r="C9" s="73"/>
      <c r="D9" s="73"/>
      <c r="E9" s="70"/>
      <c r="F9" s="74" t="s">
        <v>25</v>
      </c>
      <c r="G9" s="75"/>
      <c r="H9" s="76"/>
    </row>
    <row r="10" spans="1:8" ht="13.5" customHeight="1" x14ac:dyDescent="0.2">
      <c r="A10" s="2" t="s">
        <v>5</v>
      </c>
      <c r="B10" s="80">
        <v>33</v>
      </c>
      <c r="C10" s="80"/>
      <c r="D10" s="80"/>
      <c r="E10" s="81"/>
      <c r="F10" s="77"/>
      <c r="G10" s="78"/>
      <c r="H10" s="79"/>
    </row>
    <row r="11" spans="1:8" ht="27.75" x14ac:dyDescent="0.2">
      <c r="A11" s="1" t="s">
        <v>6</v>
      </c>
      <c r="B11" s="3" t="s">
        <v>7</v>
      </c>
      <c r="C11" s="3" t="s">
        <v>8</v>
      </c>
      <c r="D11" s="3" t="s">
        <v>9</v>
      </c>
      <c r="E11" s="3" t="s">
        <v>11</v>
      </c>
      <c r="F11" s="4" t="s">
        <v>10</v>
      </c>
      <c r="G11" s="5" t="s">
        <v>12</v>
      </c>
      <c r="H11" s="4" t="s">
        <v>13</v>
      </c>
    </row>
    <row r="12" spans="1:8" s="8" customFormat="1" ht="21" customHeight="1" x14ac:dyDescent="0.2">
      <c r="A12" s="9" t="s">
        <v>26</v>
      </c>
      <c r="B12" s="10" t="s">
        <v>27</v>
      </c>
      <c r="C12" s="9" t="s">
        <v>28</v>
      </c>
      <c r="D12" s="9" t="s">
        <v>29</v>
      </c>
      <c r="E12" s="11">
        <v>45689</v>
      </c>
      <c r="F12" s="9">
        <v>150</v>
      </c>
      <c r="G12" s="9">
        <v>242.61</v>
      </c>
      <c r="H12" s="7">
        <f>F12*G12</f>
        <v>36391.5</v>
      </c>
    </row>
    <row r="13" spans="1:8" s="8" customFormat="1" ht="21" customHeight="1" x14ac:dyDescent="0.2">
      <c r="A13" s="9"/>
      <c r="B13" s="10"/>
      <c r="C13" s="9"/>
      <c r="D13" s="9"/>
      <c r="E13" s="11"/>
      <c r="F13" s="9"/>
      <c r="G13" s="9"/>
      <c r="H13" s="9"/>
    </row>
    <row r="14" spans="1:8" s="8" customFormat="1" ht="19.5" customHeight="1" x14ac:dyDescent="0.2">
      <c r="A14" s="9"/>
      <c r="B14" s="10"/>
      <c r="C14" s="9"/>
      <c r="D14" s="9"/>
      <c r="E14" s="11"/>
      <c r="F14" s="9"/>
      <c r="G14" s="9"/>
      <c r="H14" s="9"/>
    </row>
    <row r="15" spans="1:8" s="8" customFormat="1" ht="40.5" customHeight="1" x14ac:dyDescent="0.2">
      <c r="A15" s="9"/>
      <c r="B15" s="10"/>
      <c r="C15" s="9"/>
      <c r="D15" s="9"/>
      <c r="E15" s="11"/>
      <c r="F15" s="9"/>
      <c r="G15" s="9"/>
      <c r="H15" s="9"/>
    </row>
    <row r="16" spans="1:8" s="8" customFormat="1" ht="40.5" customHeight="1" x14ac:dyDescent="0.2">
      <c r="A16" s="9"/>
      <c r="B16" s="10"/>
      <c r="C16" s="9"/>
      <c r="D16" s="9"/>
      <c r="E16" s="11"/>
      <c r="F16" s="9"/>
      <c r="G16" s="9"/>
      <c r="H16" s="9"/>
    </row>
    <row r="17" spans="1:8" s="8" customFormat="1" ht="40.5" customHeight="1" x14ac:dyDescent="0.2">
      <c r="A17" s="9"/>
      <c r="B17" s="10"/>
      <c r="C17" s="9"/>
      <c r="D17" s="9"/>
      <c r="E17" s="11"/>
      <c r="F17" s="9"/>
      <c r="G17" s="9"/>
      <c r="H17" s="9"/>
    </row>
    <row r="18" spans="1:8" s="8" customFormat="1" ht="30.75" customHeight="1" x14ac:dyDescent="0.2">
      <c r="A18" s="9"/>
      <c r="B18" s="10"/>
      <c r="C18" s="9"/>
      <c r="D18" s="9"/>
      <c r="E18" s="11"/>
      <c r="F18" s="9"/>
      <c r="G18" s="9"/>
      <c r="H18" s="9"/>
    </row>
    <row r="19" spans="1:8" s="6" customFormat="1" ht="15" customHeight="1" x14ac:dyDescent="0.2">
      <c r="A19"/>
      <c r="B19"/>
      <c r="C19"/>
      <c r="D19"/>
      <c r="E19"/>
      <c r="F19"/>
      <c r="G19" s="12" t="s">
        <v>18</v>
      </c>
      <c r="H19" s="13">
        <f>SUM(F12:F18)</f>
        <v>150</v>
      </c>
    </row>
    <row r="20" spans="1:8" ht="15" customHeight="1" x14ac:dyDescent="0.2">
      <c r="G20" s="12" t="s">
        <v>19</v>
      </c>
      <c r="H20" s="14">
        <f>SUM(H12:H18)</f>
        <v>36391.5</v>
      </c>
    </row>
  </sheetData>
  <mergeCells count="12">
    <mergeCell ref="B7:E7"/>
    <mergeCell ref="F7:H8"/>
    <mergeCell ref="B8:E8"/>
    <mergeCell ref="B9:E9"/>
    <mergeCell ref="F9:H10"/>
    <mergeCell ref="B10:E10"/>
    <mergeCell ref="A3:H3"/>
    <mergeCell ref="A4:H4"/>
    <mergeCell ref="B5:E5"/>
    <mergeCell ref="F5:G6"/>
    <mergeCell ref="H5:H6"/>
    <mergeCell ref="B6:E6"/>
  </mergeCells>
  <pageMargins left="0.7" right="0.7" top="0.75" bottom="0.75" header="0.3" footer="0.3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20"/>
  <sheetViews>
    <sheetView zoomScaleNormal="100" workbookViewId="0">
      <selection activeCell="J16" sqref="J16"/>
    </sheetView>
  </sheetViews>
  <sheetFormatPr defaultColWidth="10.76171875" defaultRowHeight="15" x14ac:dyDescent="0.2"/>
  <cols>
    <col min="1" max="1" width="16.0078125" customWidth="1"/>
    <col min="2" max="2" width="23" customWidth="1"/>
    <col min="3" max="3" width="15.33203125" customWidth="1"/>
    <col min="4" max="4" width="11.97265625" customWidth="1"/>
    <col min="5" max="5" width="14.66015625" customWidth="1"/>
    <col min="6" max="6" width="11.8359375" customWidth="1"/>
    <col min="7" max="7" width="13.44921875" customWidth="1"/>
    <col min="8" max="8" width="14.9296875" customWidth="1"/>
  </cols>
  <sheetData>
    <row r="3" spans="1:8" x14ac:dyDescent="0.2">
      <c r="A3" s="61" t="s">
        <v>16</v>
      </c>
      <c r="B3" s="61"/>
      <c r="C3" s="61"/>
      <c r="D3" s="61"/>
      <c r="E3" s="61"/>
      <c r="F3" s="61"/>
      <c r="G3" s="61"/>
      <c r="H3" s="61"/>
    </row>
    <row r="4" spans="1:8" x14ac:dyDescent="0.2">
      <c r="A4" s="62" t="s">
        <v>17</v>
      </c>
      <c r="B4" s="62"/>
      <c r="C4" s="62"/>
      <c r="D4" s="62"/>
      <c r="E4" s="62"/>
      <c r="F4" s="62"/>
      <c r="G4" s="62"/>
      <c r="H4" s="62"/>
    </row>
    <row r="5" spans="1:8" x14ac:dyDescent="0.2">
      <c r="A5" s="2" t="s">
        <v>0</v>
      </c>
      <c r="B5" s="63" t="s">
        <v>20</v>
      </c>
      <c r="C5" s="63"/>
      <c r="D5" s="63"/>
      <c r="E5" s="63"/>
      <c r="F5" s="64" t="s">
        <v>14</v>
      </c>
      <c r="G5" s="64"/>
      <c r="H5" s="65" t="s">
        <v>22</v>
      </c>
    </row>
    <row r="6" spans="1:8" x14ac:dyDescent="0.2">
      <c r="A6" s="2" t="s">
        <v>1</v>
      </c>
      <c r="B6" s="63" t="s">
        <v>30</v>
      </c>
      <c r="C6" s="63"/>
      <c r="D6" s="63"/>
      <c r="E6" s="63"/>
      <c r="F6" s="64"/>
      <c r="G6" s="64"/>
      <c r="H6" s="65"/>
    </row>
    <row r="7" spans="1:8" ht="32.25" customHeight="1" x14ac:dyDescent="0.2">
      <c r="A7" s="2" t="s">
        <v>2</v>
      </c>
      <c r="B7" s="66" t="s">
        <v>24</v>
      </c>
      <c r="C7" s="67"/>
      <c r="D7" s="67"/>
      <c r="E7" s="68"/>
      <c r="F7" s="65" t="s">
        <v>15</v>
      </c>
      <c r="G7" s="65"/>
      <c r="H7" s="65"/>
    </row>
    <row r="8" spans="1:8" ht="11.25" customHeight="1" x14ac:dyDescent="0.2">
      <c r="A8" s="2" t="s">
        <v>3</v>
      </c>
      <c r="B8" s="70"/>
      <c r="C8" s="71"/>
      <c r="D8" s="71"/>
      <c r="E8" s="72"/>
      <c r="F8" s="69"/>
      <c r="G8" s="69"/>
      <c r="H8" s="69"/>
    </row>
    <row r="9" spans="1:8" ht="13.5" customHeight="1" x14ac:dyDescent="0.2">
      <c r="A9" s="2" t="s">
        <v>4</v>
      </c>
      <c r="B9" s="73" t="s">
        <v>21</v>
      </c>
      <c r="C9" s="73"/>
      <c r="D9" s="73"/>
      <c r="E9" s="70"/>
      <c r="F9" s="74" t="s">
        <v>25</v>
      </c>
      <c r="G9" s="75"/>
      <c r="H9" s="76"/>
    </row>
    <row r="10" spans="1:8" ht="13.5" customHeight="1" x14ac:dyDescent="0.2">
      <c r="A10" s="2" t="s">
        <v>5</v>
      </c>
      <c r="B10" s="73">
        <v>34</v>
      </c>
      <c r="C10" s="73"/>
      <c r="D10" s="73"/>
      <c r="E10" s="70"/>
      <c r="F10" s="77"/>
      <c r="G10" s="78"/>
      <c r="H10" s="79"/>
    </row>
    <row r="11" spans="1:8" ht="27.75" x14ac:dyDescent="0.2">
      <c r="A11" s="1" t="s">
        <v>6</v>
      </c>
      <c r="B11" s="3" t="s">
        <v>7</v>
      </c>
      <c r="C11" s="3" t="s">
        <v>8</v>
      </c>
      <c r="D11" s="3" t="s">
        <v>9</v>
      </c>
      <c r="E11" s="3" t="s">
        <v>11</v>
      </c>
      <c r="F11" s="4" t="s">
        <v>10</v>
      </c>
      <c r="G11" s="5" t="s">
        <v>12</v>
      </c>
      <c r="H11" s="4" t="s">
        <v>13</v>
      </c>
    </row>
    <row r="12" spans="1:8" s="8" customFormat="1" ht="21" customHeight="1" x14ac:dyDescent="0.2">
      <c r="A12" s="9" t="s">
        <v>26</v>
      </c>
      <c r="B12" s="10" t="s">
        <v>27</v>
      </c>
      <c r="C12" s="9" t="s">
        <v>28</v>
      </c>
      <c r="D12" s="9" t="s">
        <v>29</v>
      </c>
      <c r="E12" s="11">
        <v>45689</v>
      </c>
      <c r="F12" s="9">
        <v>150</v>
      </c>
      <c r="G12" s="9">
        <v>242.61</v>
      </c>
      <c r="H12" s="7">
        <f>F12*G12</f>
        <v>36391.5</v>
      </c>
    </row>
    <row r="13" spans="1:8" s="8" customFormat="1" ht="21" customHeight="1" x14ac:dyDescent="0.2">
      <c r="A13" s="9"/>
      <c r="B13" s="10"/>
      <c r="C13" s="9"/>
      <c r="D13" s="9"/>
      <c r="E13" s="11"/>
      <c r="F13" s="9"/>
      <c r="G13" s="9"/>
      <c r="H13" s="9"/>
    </row>
    <row r="14" spans="1:8" s="8" customFormat="1" ht="19.5" customHeight="1" x14ac:dyDescent="0.2">
      <c r="A14" s="9"/>
      <c r="B14" s="10"/>
      <c r="C14" s="9"/>
      <c r="D14" s="9"/>
      <c r="E14" s="11"/>
      <c r="F14" s="9"/>
      <c r="G14" s="9"/>
      <c r="H14" s="9"/>
    </row>
    <row r="15" spans="1:8" s="8" customFormat="1" ht="40.5" customHeight="1" x14ac:dyDescent="0.2">
      <c r="A15" s="9"/>
      <c r="B15" s="10"/>
      <c r="C15" s="9"/>
      <c r="D15" s="9"/>
      <c r="E15" s="11"/>
      <c r="F15" s="9"/>
      <c r="G15" s="9"/>
      <c r="H15" s="9"/>
    </row>
    <row r="16" spans="1:8" s="8" customFormat="1" ht="40.5" customHeight="1" x14ac:dyDescent="0.2">
      <c r="A16" s="9"/>
      <c r="B16" s="10"/>
      <c r="C16" s="9"/>
      <c r="D16" s="9"/>
      <c r="E16" s="11"/>
      <c r="F16" s="9"/>
      <c r="G16" s="9"/>
      <c r="H16" s="9"/>
    </row>
    <row r="17" spans="1:8" s="8" customFormat="1" ht="40.5" customHeight="1" x14ac:dyDescent="0.2">
      <c r="A17" s="9"/>
      <c r="B17" s="10"/>
      <c r="C17" s="9"/>
      <c r="D17" s="9"/>
      <c r="E17" s="11"/>
      <c r="F17" s="9"/>
      <c r="G17" s="9"/>
      <c r="H17" s="9"/>
    </row>
    <row r="18" spans="1:8" s="8" customFormat="1" ht="30.75" customHeight="1" x14ac:dyDescent="0.2">
      <c r="A18" s="9"/>
      <c r="B18" s="10"/>
      <c r="C18" s="9"/>
      <c r="D18" s="9"/>
      <c r="E18" s="11"/>
      <c r="F18" s="9"/>
      <c r="G18" s="9"/>
      <c r="H18" s="9"/>
    </row>
    <row r="19" spans="1:8" s="6" customFormat="1" ht="15" customHeight="1" x14ac:dyDescent="0.2">
      <c r="A19"/>
      <c r="B19"/>
      <c r="C19"/>
      <c r="D19"/>
      <c r="E19"/>
      <c r="F19"/>
      <c r="G19" s="12" t="s">
        <v>18</v>
      </c>
      <c r="H19" s="13">
        <f>SUM(F12:F18)</f>
        <v>150</v>
      </c>
    </row>
    <row r="20" spans="1:8" ht="15" customHeight="1" x14ac:dyDescent="0.2">
      <c r="G20" s="12" t="s">
        <v>19</v>
      </c>
      <c r="H20" s="14">
        <f>SUM(H12:H18)</f>
        <v>36391.5</v>
      </c>
    </row>
  </sheetData>
  <mergeCells count="12">
    <mergeCell ref="A3:H3"/>
    <mergeCell ref="A4:H4"/>
    <mergeCell ref="B5:E5"/>
    <mergeCell ref="F5:G6"/>
    <mergeCell ref="H5:H6"/>
    <mergeCell ref="B6:E6"/>
    <mergeCell ref="B7:E7"/>
    <mergeCell ref="F7:H8"/>
    <mergeCell ref="B8:E8"/>
    <mergeCell ref="B9:E9"/>
    <mergeCell ref="F9:H10"/>
    <mergeCell ref="B10:E10"/>
  </mergeCells>
  <pageMargins left="0.7" right="0.7" top="0.75" bottom="0.75" header="0.3" footer="0.3"/>
  <pageSetup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H15"/>
  <sheetViews>
    <sheetView zoomScaleNormal="100" workbookViewId="0">
      <selection activeCell="E13" sqref="E13"/>
    </sheetView>
  </sheetViews>
  <sheetFormatPr defaultColWidth="10.76171875" defaultRowHeight="15" x14ac:dyDescent="0.2"/>
  <cols>
    <col min="1" max="1" width="16.0078125" customWidth="1"/>
    <col min="2" max="2" width="23" customWidth="1"/>
    <col min="3" max="3" width="15.33203125" customWidth="1"/>
    <col min="4" max="4" width="11.97265625" customWidth="1"/>
    <col min="5" max="5" width="14.66015625" customWidth="1"/>
    <col min="6" max="6" width="11.8359375" customWidth="1"/>
    <col min="7" max="7" width="13.44921875" customWidth="1"/>
    <col min="8" max="8" width="19.1015625" customWidth="1"/>
  </cols>
  <sheetData>
    <row r="3" spans="1:8" x14ac:dyDescent="0.2">
      <c r="A3" s="61" t="s">
        <v>16</v>
      </c>
      <c r="B3" s="61"/>
      <c r="C3" s="61"/>
      <c r="D3" s="61"/>
      <c r="E3" s="61"/>
      <c r="F3" s="61"/>
      <c r="G3" s="61"/>
      <c r="H3" s="61"/>
    </row>
    <row r="4" spans="1:8" x14ac:dyDescent="0.2">
      <c r="A4" s="62" t="s">
        <v>17</v>
      </c>
      <c r="B4" s="62"/>
      <c r="C4" s="62"/>
      <c r="D4" s="62"/>
      <c r="E4" s="62"/>
      <c r="F4" s="62"/>
      <c r="G4" s="62"/>
      <c r="H4" s="62"/>
    </row>
    <row r="5" spans="1:8" x14ac:dyDescent="0.2">
      <c r="A5" s="62" t="s">
        <v>41</v>
      </c>
      <c r="B5" s="62"/>
      <c r="C5" s="62"/>
      <c r="D5" s="62"/>
      <c r="E5" s="62"/>
      <c r="F5" s="62"/>
      <c r="G5" s="62"/>
      <c r="H5" s="62"/>
    </row>
    <row r="6" spans="1:8" x14ac:dyDescent="0.2">
      <c r="A6" s="2" t="s">
        <v>0</v>
      </c>
      <c r="B6" s="63" t="s">
        <v>20</v>
      </c>
      <c r="C6" s="63"/>
      <c r="D6" s="63"/>
      <c r="E6" s="63"/>
      <c r="F6" s="64" t="s">
        <v>14</v>
      </c>
      <c r="G6" s="64"/>
      <c r="H6" s="65" t="s">
        <v>34</v>
      </c>
    </row>
    <row r="7" spans="1:8" x14ac:dyDescent="0.2">
      <c r="A7" s="2" t="s">
        <v>1</v>
      </c>
      <c r="B7" s="63" t="s">
        <v>33</v>
      </c>
      <c r="C7" s="63"/>
      <c r="D7" s="63"/>
      <c r="E7" s="63"/>
      <c r="F7" s="64"/>
      <c r="G7" s="64"/>
      <c r="H7" s="65"/>
    </row>
    <row r="8" spans="1:8" ht="32.25" customHeight="1" x14ac:dyDescent="0.2">
      <c r="A8" s="2" t="s">
        <v>2</v>
      </c>
      <c r="B8" s="82" t="s">
        <v>42</v>
      </c>
      <c r="C8" s="83"/>
      <c r="D8" s="83"/>
      <c r="E8" s="84"/>
      <c r="F8" s="65" t="s">
        <v>15</v>
      </c>
      <c r="G8" s="65"/>
      <c r="H8" s="65"/>
    </row>
    <row r="9" spans="1:8" ht="11.25" customHeight="1" x14ac:dyDescent="0.2">
      <c r="A9" s="2" t="s">
        <v>3</v>
      </c>
      <c r="B9" s="70" t="s">
        <v>32</v>
      </c>
      <c r="C9" s="71"/>
      <c r="D9" s="71"/>
      <c r="E9" s="72"/>
      <c r="F9" s="69"/>
      <c r="G9" s="69"/>
      <c r="H9" s="69"/>
    </row>
    <row r="10" spans="1:8" ht="13.5" customHeight="1" x14ac:dyDescent="0.2">
      <c r="A10" s="2" t="s">
        <v>4</v>
      </c>
      <c r="B10" s="73" t="s">
        <v>39</v>
      </c>
      <c r="C10" s="73"/>
      <c r="D10" s="73"/>
      <c r="E10" s="70"/>
      <c r="F10" s="74">
        <v>45779</v>
      </c>
      <c r="G10" s="85"/>
      <c r="H10" s="86"/>
    </row>
    <row r="11" spans="1:8" ht="13.5" customHeight="1" x14ac:dyDescent="0.2">
      <c r="A11" s="2" t="s">
        <v>5</v>
      </c>
      <c r="B11" s="80">
        <v>22</v>
      </c>
      <c r="C11" s="80"/>
      <c r="D11" s="80"/>
      <c r="E11" s="81"/>
      <c r="F11" s="87"/>
      <c r="G11" s="88"/>
      <c r="H11" s="89"/>
    </row>
    <row r="12" spans="1:8" ht="27.75" x14ac:dyDescent="0.2">
      <c r="A12" s="1" t="s">
        <v>6</v>
      </c>
      <c r="B12" s="3" t="s">
        <v>7</v>
      </c>
      <c r="C12" s="3" t="s">
        <v>8</v>
      </c>
      <c r="D12" s="3" t="s">
        <v>9</v>
      </c>
      <c r="E12" s="3" t="s">
        <v>11</v>
      </c>
      <c r="F12" s="4" t="s">
        <v>10</v>
      </c>
      <c r="G12" s="5" t="s">
        <v>12</v>
      </c>
      <c r="H12" s="4" t="s">
        <v>13</v>
      </c>
    </row>
    <row r="13" spans="1:8" s="15" customFormat="1" ht="36" x14ac:dyDescent="0.2">
      <c r="A13" s="16" t="s">
        <v>35</v>
      </c>
      <c r="B13" s="17" t="s">
        <v>40</v>
      </c>
      <c r="C13" s="18" t="s">
        <v>36</v>
      </c>
      <c r="D13" s="21" t="s">
        <v>37</v>
      </c>
      <c r="E13" s="20" t="s">
        <v>38</v>
      </c>
      <c r="F13" s="19">
        <v>35</v>
      </c>
      <c r="G13" s="22">
        <v>793.2</v>
      </c>
      <c r="H13" s="22">
        <v>793.2</v>
      </c>
    </row>
    <row r="14" spans="1:8" s="6" customFormat="1" ht="15" customHeight="1" x14ac:dyDescent="0.2">
      <c r="A14"/>
      <c r="B14"/>
      <c r="C14"/>
      <c r="D14"/>
      <c r="E14"/>
      <c r="F14"/>
      <c r="G14" s="12" t="s">
        <v>18</v>
      </c>
      <c r="H14" s="1">
        <v>35</v>
      </c>
    </row>
    <row r="15" spans="1:8" ht="15" customHeight="1" x14ac:dyDescent="0.2">
      <c r="G15" s="12" t="s">
        <v>19</v>
      </c>
      <c r="H15" s="22">
        <v>793.2</v>
      </c>
    </row>
  </sheetData>
  <mergeCells count="13">
    <mergeCell ref="A3:H3"/>
    <mergeCell ref="A5:H5"/>
    <mergeCell ref="B6:E6"/>
    <mergeCell ref="F6:G7"/>
    <mergeCell ref="H6:H7"/>
    <mergeCell ref="B7:E7"/>
    <mergeCell ref="A4:H4"/>
    <mergeCell ref="B8:E8"/>
    <mergeCell ref="F8:H9"/>
    <mergeCell ref="B9:E9"/>
    <mergeCell ref="B10:E10"/>
    <mergeCell ref="F10:H11"/>
    <mergeCell ref="B11:E11"/>
  </mergeCells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I21"/>
  <sheetViews>
    <sheetView workbookViewId="0">
      <selection activeCell="C21" sqref="C21"/>
    </sheetView>
  </sheetViews>
  <sheetFormatPr defaultColWidth="10.76171875" defaultRowHeight="15" x14ac:dyDescent="0.2"/>
  <cols>
    <col min="1" max="1" width="16.0078125" customWidth="1"/>
    <col min="2" max="2" width="18.29296875" customWidth="1"/>
    <col min="3" max="3" width="18.16015625" customWidth="1"/>
    <col min="4" max="4" width="13.98828125" customWidth="1"/>
    <col min="5" max="5" width="14.125" customWidth="1"/>
    <col min="6" max="6" width="11.1640625" customWidth="1"/>
    <col min="7" max="7" width="14.796875" customWidth="1"/>
    <col min="8" max="8" width="14.2578125" customWidth="1"/>
  </cols>
  <sheetData>
    <row r="4" spans="1:9" x14ac:dyDescent="0.2">
      <c r="A4" s="61" t="s">
        <v>16</v>
      </c>
      <c r="B4" s="61"/>
      <c r="C4" s="61"/>
      <c r="D4" s="61"/>
      <c r="E4" s="61"/>
      <c r="F4" s="61"/>
      <c r="G4" s="61"/>
      <c r="H4" s="61"/>
    </row>
    <row r="5" spans="1:9" x14ac:dyDescent="0.2">
      <c r="A5" s="62" t="s">
        <v>17</v>
      </c>
      <c r="B5" s="62"/>
      <c r="C5" s="62"/>
      <c r="D5" s="62"/>
      <c r="E5" s="62"/>
      <c r="F5" s="62"/>
      <c r="G5" s="62"/>
      <c r="H5" s="62"/>
    </row>
    <row r="6" spans="1:9" x14ac:dyDescent="0.2">
      <c r="A6" s="62" t="s">
        <v>41</v>
      </c>
      <c r="B6" s="62"/>
      <c r="C6" s="62"/>
      <c r="D6" s="62"/>
      <c r="E6" s="62"/>
      <c r="F6" s="62"/>
      <c r="G6" s="62"/>
      <c r="H6" s="62"/>
    </row>
    <row r="7" spans="1:9" x14ac:dyDescent="0.2">
      <c r="A7" s="2" t="s">
        <v>0</v>
      </c>
      <c r="B7" s="63" t="s">
        <v>20</v>
      </c>
      <c r="C7" s="63"/>
      <c r="D7" s="63"/>
      <c r="E7" s="63"/>
      <c r="F7" s="64" t="s">
        <v>14</v>
      </c>
      <c r="G7" s="64"/>
      <c r="H7" s="65" t="s">
        <v>34</v>
      </c>
    </row>
    <row r="8" spans="1:9" x14ac:dyDescent="0.2">
      <c r="A8" s="2" t="s">
        <v>1</v>
      </c>
      <c r="B8" s="63" t="s">
        <v>33</v>
      </c>
      <c r="C8" s="63"/>
      <c r="D8" s="63"/>
      <c r="E8" s="63"/>
      <c r="F8" s="64"/>
      <c r="G8" s="64"/>
      <c r="H8" s="65"/>
    </row>
    <row r="9" spans="1:9" x14ac:dyDescent="0.2">
      <c r="A9" s="2" t="s">
        <v>2</v>
      </c>
      <c r="B9" s="82" t="s">
        <v>42</v>
      </c>
      <c r="C9" s="83"/>
      <c r="D9" s="83"/>
      <c r="E9" s="84"/>
      <c r="F9" s="65" t="s">
        <v>15</v>
      </c>
      <c r="G9" s="65"/>
      <c r="H9" s="65"/>
    </row>
    <row r="10" spans="1:9" x14ac:dyDescent="0.2">
      <c r="A10" s="2" t="s">
        <v>3</v>
      </c>
      <c r="B10" s="70" t="s">
        <v>32</v>
      </c>
      <c r="C10" s="71"/>
      <c r="D10" s="71"/>
      <c r="E10" s="72"/>
      <c r="F10" s="69"/>
      <c r="G10" s="69"/>
      <c r="H10" s="69"/>
    </row>
    <row r="11" spans="1:9" x14ac:dyDescent="0.2">
      <c r="A11" s="2" t="s">
        <v>4</v>
      </c>
      <c r="B11" s="73" t="s">
        <v>39</v>
      </c>
      <c r="C11" s="73"/>
      <c r="D11" s="73"/>
      <c r="E11" s="70"/>
      <c r="F11" s="74">
        <v>45525</v>
      </c>
      <c r="G11" s="85"/>
      <c r="H11" s="86"/>
    </row>
    <row r="12" spans="1:9" x14ac:dyDescent="0.2">
      <c r="A12" s="2" t="s">
        <v>5</v>
      </c>
      <c r="B12" s="80">
        <v>33</v>
      </c>
      <c r="C12" s="80"/>
      <c r="D12" s="80"/>
      <c r="E12" s="81"/>
      <c r="F12" s="87"/>
      <c r="G12" s="88"/>
      <c r="H12" s="89"/>
    </row>
    <row r="13" spans="1:9" ht="27.75" x14ac:dyDescent="0.2">
      <c r="A13" s="1" t="s">
        <v>6</v>
      </c>
      <c r="B13" s="3" t="s">
        <v>7</v>
      </c>
      <c r="C13" s="3" t="s">
        <v>8</v>
      </c>
      <c r="D13" s="3" t="s">
        <v>9</v>
      </c>
      <c r="E13" s="3" t="s">
        <v>11</v>
      </c>
      <c r="F13" s="4" t="s">
        <v>10</v>
      </c>
      <c r="G13" s="5" t="s">
        <v>12</v>
      </c>
      <c r="H13" s="4" t="s">
        <v>13</v>
      </c>
    </row>
    <row r="14" spans="1:9" ht="32.25" x14ac:dyDescent="0.2">
      <c r="A14" s="26" t="s">
        <v>43</v>
      </c>
      <c r="B14" s="25" t="s">
        <v>44</v>
      </c>
      <c r="C14" s="26" t="s">
        <v>45</v>
      </c>
      <c r="D14" s="31" t="s">
        <v>46</v>
      </c>
      <c r="E14" s="32">
        <v>45748</v>
      </c>
      <c r="F14" s="26">
        <v>10</v>
      </c>
      <c r="G14" s="27">
        <v>11.25</v>
      </c>
      <c r="H14" s="28">
        <f>F14*G14</f>
        <v>112.5</v>
      </c>
      <c r="I14" s="15"/>
    </row>
    <row r="15" spans="1:9" s="29" customFormat="1" ht="12.75" x14ac:dyDescent="0.15">
      <c r="A15" s="33"/>
      <c r="B15" s="33"/>
      <c r="C15" s="33"/>
      <c r="D15" s="33"/>
      <c r="E15" s="33"/>
      <c r="F15" s="33"/>
      <c r="G15" s="34" t="s">
        <v>18</v>
      </c>
      <c r="H15" s="30">
        <f>SUM(F14)</f>
        <v>10</v>
      </c>
    </row>
    <row r="16" spans="1:9" s="29" customFormat="1" ht="12.75" x14ac:dyDescent="0.15">
      <c r="A16" s="33"/>
      <c r="B16" s="33"/>
      <c r="C16" s="33"/>
      <c r="D16" s="33"/>
      <c r="E16" s="33"/>
      <c r="F16" s="33"/>
      <c r="G16" s="34" t="s">
        <v>19</v>
      </c>
      <c r="H16" s="35">
        <f>SUM(H8:H14)</f>
        <v>112.5</v>
      </c>
    </row>
    <row r="17" spans="7:8" x14ac:dyDescent="0.2">
      <c r="G17" s="23"/>
      <c r="H17" s="24"/>
    </row>
    <row r="18" spans="7:8" x14ac:dyDescent="0.2">
      <c r="G18" s="23"/>
      <c r="H18" s="24"/>
    </row>
    <row r="19" spans="7:8" x14ac:dyDescent="0.2">
      <c r="G19" s="23"/>
      <c r="H19" s="24"/>
    </row>
    <row r="20" spans="7:8" x14ac:dyDescent="0.2">
      <c r="G20" s="23"/>
      <c r="H20" s="24"/>
    </row>
    <row r="21" spans="7:8" x14ac:dyDescent="0.2">
      <c r="G21" s="23"/>
      <c r="H21" s="24"/>
    </row>
  </sheetData>
  <mergeCells count="13">
    <mergeCell ref="B9:E9"/>
    <mergeCell ref="F9:H10"/>
    <mergeCell ref="B10:E10"/>
    <mergeCell ref="B11:E11"/>
    <mergeCell ref="F11:H12"/>
    <mergeCell ref="B12:E12"/>
    <mergeCell ref="A4:H4"/>
    <mergeCell ref="A5:H5"/>
    <mergeCell ref="A6:H6"/>
    <mergeCell ref="B7:E7"/>
    <mergeCell ref="F7:G8"/>
    <mergeCell ref="H7:H8"/>
    <mergeCell ref="B8:E8"/>
  </mergeCells>
  <pageMargins left="0.7" right="0.7" top="0.75" bottom="0.75" header="0.3" footer="0.3"/>
  <pageSetup paperSize="12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H25"/>
  <sheetViews>
    <sheetView tabSelected="1" topLeftCell="D1" zoomScaleNormal="100" workbookViewId="0">
      <selection activeCell="D16" sqref="D16"/>
    </sheetView>
  </sheetViews>
  <sheetFormatPr defaultColWidth="10.76171875" defaultRowHeight="15" x14ac:dyDescent="0.2"/>
  <cols>
    <col min="1" max="1" width="16.0078125" customWidth="1"/>
    <col min="2" max="2" width="23" customWidth="1"/>
    <col min="3" max="3" width="29.7265625" customWidth="1"/>
    <col min="4" max="4" width="11.97265625" customWidth="1"/>
    <col min="5" max="5" width="14.66015625" customWidth="1"/>
    <col min="6" max="6" width="11.8359375" customWidth="1"/>
    <col min="7" max="7" width="13.44921875" customWidth="1"/>
    <col min="8" max="8" width="19.1015625" customWidth="1"/>
  </cols>
  <sheetData>
    <row r="3" spans="1:8" x14ac:dyDescent="0.2">
      <c r="A3" s="61" t="s">
        <v>16</v>
      </c>
      <c r="B3" s="61"/>
      <c r="C3" s="61"/>
      <c r="D3" s="61"/>
      <c r="E3" s="61"/>
      <c r="F3" s="61"/>
      <c r="G3" s="61"/>
      <c r="H3" s="61"/>
    </row>
    <row r="4" spans="1:8" x14ac:dyDescent="0.2">
      <c r="A4" s="62" t="s">
        <v>17</v>
      </c>
      <c r="B4" s="62"/>
      <c r="C4" s="62"/>
      <c r="D4" s="62"/>
      <c r="E4" s="62"/>
      <c r="F4" s="62"/>
      <c r="G4" s="62"/>
      <c r="H4" s="62"/>
    </row>
    <row r="5" spans="1:8" x14ac:dyDescent="0.2">
      <c r="A5" s="62" t="s">
        <v>41</v>
      </c>
      <c r="B5" s="62"/>
      <c r="C5" s="62"/>
      <c r="D5" s="62"/>
      <c r="E5" s="62"/>
      <c r="F5" s="62"/>
      <c r="G5" s="62"/>
      <c r="H5" s="62"/>
    </row>
    <row r="6" spans="1:8" x14ac:dyDescent="0.2">
      <c r="A6" s="1" t="s">
        <v>0</v>
      </c>
      <c r="B6" s="63" t="s">
        <v>20</v>
      </c>
      <c r="C6" s="63"/>
      <c r="D6" s="63"/>
      <c r="E6" s="63"/>
      <c r="F6" s="64" t="s">
        <v>14</v>
      </c>
      <c r="G6" s="64"/>
      <c r="H6" s="65" t="s">
        <v>34</v>
      </c>
    </row>
    <row r="7" spans="1:8" x14ac:dyDescent="0.2">
      <c r="A7" s="1" t="s">
        <v>1</v>
      </c>
      <c r="B7" s="63" t="s">
        <v>80</v>
      </c>
      <c r="C7" s="63"/>
      <c r="D7" s="63"/>
      <c r="E7" s="63"/>
      <c r="F7" s="64"/>
      <c r="G7" s="64"/>
      <c r="H7" s="65"/>
    </row>
    <row r="8" spans="1:8" ht="32.25" customHeight="1" x14ac:dyDescent="0.2">
      <c r="A8" s="1" t="s">
        <v>2</v>
      </c>
      <c r="B8" s="82" t="s">
        <v>81</v>
      </c>
      <c r="C8" s="83"/>
      <c r="D8" s="83"/>
      <c r="E8" s="84"/>
      <c r="F8" s="65" t="s">
        <v>15</v>
      </c>
      <c r="G8" s="65"/>
      <c r="H8" s="65"/>
    </row>
    <row r="9" spans="1:8" ht="11.25" customHeight="1" x14ac:dyDescent="0.2">
      <c r="A9" s="1" t="s">
        <v>3</v>
      </c>
      <c r="B9" s="70">
        <v>9212122277</v>
      </c>
      <c r="C9" s="71"/>
      <c r="D9" s="71"/>
      <c r="E9" s="72"/>
      <c r="F9" s="69"/>
      <c r="G9" s="69"/>
      <c r="H9" s="69"/>
    </row>
    <row r="10" spans="1:8" ht="13.5" customHeight="1" x14ac:dyDescent="0.2">
      <c r="A10" s="1" t="s">
        <v>4</v>
      </c>
      <c r="B10" s="73" t="s">
        <v>39</v>
      </c>
      <c r="C10" s="73"/>
      <c r="D10" s="73"/>
      <c r="E10" s="70"/>
      <c r="F10" s="74">
        <v>45843</v>
      </c>
      <c r="G10" s="85"/>
      <c r="H10" s="86"/>
    </row>
    <row r="11" spans="1:8" ht="13.5" customHeight="1" x14ac:dyDescent="0.2">
      <c r="A11" s="1" t="s">
        <v>5</v>
      </c>
      <c r="B11" s="90">
        <v>1</v>
      </c>
      <c r="C11" s="90"/>
      <c r="D11" s="90"/>
      <c r="E11" s="82"/>
      <c r="F11" s="87"/>
      <c r="G11" s="88"/>
      <c r="H11" s="89"/>
    </row>
    <row r="12" spans="1:8" ht="27.75" x14ac:dyDescent="0.2">
      <c r="A12" s="1" t="s">
        <v>6</v>
      </c>
      <c r="B12" s="3" t="s">
        <v>7</v>
      </c>
      <c r="C12" s="3" t="s">
        <v>8</v>
      </c>
      <c r="D12" s="3" t="s">
        <v>9</v>
      </c>
      <c r="E12" s="3" t="s">
        <v>11</v>
      </c>
      <c r="F12" s="4" t="s">
        <v>10</v>
      </c>
      <c r="G12" s="5" t="s">
        <v>12</v>
      </c>
      <c r="H12" s="4" t="s">
        <v>13</v>
      </c>
    </row>
    <row r="13" spans="1:8" ht="21" x14ac:dyDescent="0.2">
      <c r="A13" s="36" t="s">
        <v>47</v>
      </c>
      <c r="B13" s="36" t="s">
        <v>56</v>
      </c>
      <c r="C13" s="36" t="s">
        <v>28</v>
      </c>
      <c r="D13" s="36" t="s">
        <v>57</v>
      </c>
      <c r="E13" s="42">
        <v>46174</v>
      </c>
      <c r="F13" s="36">
        <v>1</v>
      </c>
      <c r="G13" s="47">
        <v>36.299999999999997</v>
      </c>
      <c r="H13" s="37">
        <f t="shared" ref="H13:H23" si="0">F13*G13</f>
        <v>36.299999999999997</v>
      </c>
    </row>
    <row r="14" spans="1:8" ht="21" x14ac:dyDescent="0.2">
      <c r="A14" s="36" t="s">
        <v>47</v>
      </c>
      <c r="B14" s="36" t="s">
        <v>56</v>
      </c>
      <c r="C14" s="36" t="s">
        <v>28</v>
      </c>
      <c r="D14" s="36" t="s">
        <v>58</v>
      </c>
      <c r="E14" s="42">
        <v>46204</v>
      </c>
      <c r="F14" s="36">
        <v>1</v>
      </c>
      <c r="G14" s="47">
        <v>35.97</v>
      </c>
      <c r="H14" s="37">
        <f t="shared" si="0"/>
        <v>35.97</v>
      </c>
    </row>
    <row r="15" spans="1:8" ht="30" x14ac:dyDescent="0.2">
      <c r="A15" s="36" t="s">
        <v>48</v>
      </c>
      <c r="B15" s="36" t="s">
        <v>59</v>
      </c>
      <c r="C15" s="36" t="s">
        <v>60</v>
      </c>
      <c r="D15" s="36" t="s">
        <v>61</v>
      </c>
      <c r="E15" s="42">
        <v>45961</v>
      </c>
      <c r="F15" s="36">
        <v>2</v>
      </c>
      <c r="G15" s="37">
        <v>120</v>
      </c>
      <c r="H15" s="37">
        <f t="shared" si="0"/>
        <v>240</v>
      </c>
    </row>
    <row r="16" spans="1:8" ht="21" x14ac:dyDescent="0.2">
      <c r="A16" s="36" t="s">
        <v>49</v>
      </c>
      <c r="B16" s="36" t="s">
        <v>62</v>
      </c>
      <c r="C16" s="36" t="s">
        <v>63</v>
      </c>
      <c r="D16" s="36" t="s">
        <v>64</v>
      </c>
      <c r="E16" s="42">
        <v>46477</v>
      </c>
      <c r="F16" s="52">
        <v>1</v>
      </c>
      <c r="G16" s="37">
        <v>68.17</v>
      </c>
      <c r="H16" s="37">
        <f t="shared" si="0"/>
        <v>68.17</v>
      </c>
    </row>
    <row r="17" spans="1:8" ht="40.5" customHeight="1" x14ac:dyDescent="0.2">
      <c r="A17" s="36" t="s">
        <v>50</v>
      </c>
      <c r="B17" s="38" t="s">
        <v>65</v>
      </c>
      <c r="C17" s="39" t="s">
        <v>66</v>
      </c>
      <c r="D17" s="40" t="s">
        <v>76</v>
      </c>
      <c r="E17" s="42">
        <v>45962</v>
      </c>
      <c r="F17" s="52">
        <v>2</v>
      </c>
      <c r="G17" s="37">
        <v>135</v>
      </c>
      <c r="H17" s="37">
        <f t="shared" si="0"/>
        <v>270</v>
      </c>
    </row>
    <row r="18" spans="1:8" ht="45" customHeight="1" x14ac:dyDescent="0.2">
      <c r="A18" s="36" t="s">
        <v>51</v>
      </c>
      <c r="B18" s="38" t="s">
        <v>67</v>
      </c>
      <c r="C18" s="39" t="s">
        <v>68</v>
      </c>
      <c r="D18" s="41" t="s">
        <v>69</v>
      </c>
      <c r="E18" s="42">
        <v>45839</v>
      </c>
      <c r="F18" s="52">
        <v>2</v>
      </c>
      <c r="G18" s="54">
        <v>221.5</v>
      </c>
      <c r="H18" s="52">
        <f t="shared" si="0"/>
        <v>443</v>
      </c>
    </row>
    <row r="19" spans="1:8" ht="57.75" x14ac:dyDescent="0.2">
      <c r="A19" s="48" t="s">
        <v>52</v>
      </c>
      <c r="B19" s="49" t="s">
        <v>78</v>
      </c>
      <c r="C19" s="49" t="s">
        <v>77</v>
      </c>
      <c r="D19" s="50">
        <v>6118101</v>
      </c>
      <c r="E19" s="51">
        <v>46113</v>
      </c>
      <c r="F19" s="52">
        <v>1</v>
      </c>
      <c r="G19" s="47">
        <v>822.4</v>
      </c>
      <c r="H19" s="52">
        <f t="shared" si="0"/>
        <v>822.4</v>
      </c>
    </row>
    <row r="20" spans="1:8" ht="57.75" x14ac:dyDescent="0.2">
      <c r="A20" s="36" t="s">
        <v>53</v>
      </c>
      <c r="B20" s="43" t="s">
        <v>70</v>
      </c>
      <c r="C20" s="44" t="s">
        <v>71</v>
      </c>
      <c r="D20" s="50">
        <v>2418625</v>
      </c>
      <c r="E20" s="51">
        <v>46054</v>
      </c>
      <c r="F20" s="52">
        <v>5</v>
      </c>
      <c r="G20" s="54">
        <v>91</v>
      </c>
      <c r="H20" s="37">
        <f t="shared" si="0"/>
        <v>455</v>
      </c>
    </row>
    <row r="21" spans="1:8" ht="44.25" customHeight="1" x14ac:dyDescent="0.2">
      <c r="A21" s="36" t="s">
        <v>54</v>
      </c>
      <c r="B21" s="45" t="s">
        <v>72</v>
      </c>
      <c r="C21" s="46" t="s">
        <v>73</v>
      </c>
      <c r="D21" s="50" t="s">
        <v>79</v>
      </c>
      <c r="E21" s="51">
        <v>45962</v>
      </c>
      <c r="F21" s="52">
        <v>5</v>
      </c>
      <c r="G21" s="53">
        <v>34.549999999999997</v>
      </c>
      <c r="H21" s="37">
        <f t="shared" si="0"/>
        <v>172.75</v>
      </c>
    </row>
    <row r="22" spans="1:8" x14ac:dyDescent="0.2">
      <c r="A22" s="36" t="s">
        <v>55</v>
      </c>
      <c r="B22" s="45" t="s">
        <v>74</v>
      </c>
      <c r="C22" s="46" t="s">
        <v>75</v>
      </c>
      <c r="D22" s="56">
        <v>40321</v>
      </c>
      <c r="E22" s="57">
        <v>46054</v>
      </c>
      <c r="F22" s="52">
        <v>1</v>
      </c>
      <c r="G22" s="54">
        <v>32</v>
      </c>
      <c r="H22" s="37">
        <f t="shared" si="0"/>
        <v>32</v>
      </c>
    </row>
    <row r="23" spans="1:8" s="15" customFormat="1" ht="37.5" x14ac:dyDescent="0.1">
      <c r="A23" s="38" t="s">
        <v>82</v>
      </c>
      <c r="B23" s="38" t="s">
        <v>83</v>
      </c>
      <c r="C23" s="39" t="s">
        <v>84</v>
      </c>
      <c r="D23" s="55">
        <v>20880</v>
      </c>
      <c r="E23" s="42">
        <v>46477</v>
      </c>
      <c r="F23" s="36">
        <v>5</v>
      </c>
      <c r="G23" s="47">
        <v>80</v>
      </c>
      <c r="H23" s="37">
        <f t="shared" si="0"/>
        <v>400</v>
      </c>
    </row>
    <row r="24" spans="1:8" s="6" customFormat="1" ht="15" customHeight="1" x14ac:dyDescent="0.15">
      <c r="A24" s="58"/>
      <c r="B24" s="58"/>
      <c r="C24" s="58"/>
      <c r="D24" s="58"/>
      <c r="E24" s="58"/>
      <c r="F24" s="58"/>
      <c r="G24" s="59" t="s">
        <v>18</v>
      </c>
      <c r="H24" s="36">
        <v>26</v>
      </c>
    </row>
    <row r="25" spans="1:8" ht="15" customHeight="1" x14ac:dyDescent="0.2">
      <c r="A25" s="58"/>
      <c r="B25" s="58"/>
      <c r="C25" s="58"/>
      <c r="D25" s="58"/>
      <c r="E25" s="58"/>
      <c r="F25" s="58"/>
      <c r="G25" s="59" t="s">
        <v>19</v>
      </c>
      <c r="H25" s="60">
        <v>2975.59</v>
      </c>
    </row>
  </sheetData>
  <mergeCells count="13">
    <mergeCell ref="A3:H3"/>
    <mergeCell ref="A4:H4"/>
    <mergeCell ref="A5:H5"/>
    <mergeCell ref="B6:E6"/>
    <mergeCell ref="F6:G7"/>
    <mergeCell ref="H6:H7"/>
    <mergeCell ref="B7:E7"/>
    <mergeCell ref="B8:E8"/>
    <mergeCell ref="F8:H9"/>
    <mergeCell ref="B9:E9"/>
    <mergeCell ref="B10:E10"/>
    <mergeCell ref="F10:H11"/>
    <mergeCell ref="B11:E11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H. CERRO AZUL</vt:lpstr>
      <vt:lpstr>H. CERRO AZUL (2)</vt:lpstr>
      <vt:lpstr>EL RINCON CHICONAMEL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FARMACIA</cp:lastModifiedBy>
  <cp:lastPrinted>2024-08-21T19:20:52Z</cp:lastPrinted>
  <dcterms:created xsi:type="dcterms:W3CDTF">2021-07-02T16:06:59Z</dcterms:created>
  <dcterms:modified xsi:type="dcterms:W3CDTF">2025-07-05T17:08:23Z</dcterms:modified>
</cp:coreProperties>
</file>